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act Tracker" sheetId="1" state="visible" r:id="rId3"/>
    <sheet name="How to Use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<sst xmlns="http://schemas.openxmlformats.org/spreadsheetml/2006/main" count="126" uniqueCount="104">
  <si>
    <t xml:space="preserve">⚠  Want this automated? Renewl tracks contracts, extracts dates with AI, and sends alerts automatically. Try free → getrenewl.com</t>
  </si>
  <si>
    <t xml:space="preserve">Vendor Contract Renewal Tracker</t>
  </si>
  <si>
    <t xml:space="preserve">Track expiry dates, notice periods, and renewal windows for all your vendor contracts. Colour coding updates automatically.</t>
  </si>
  <si>
    <t xml:space="preserve">Contract Name</t>
  </si>
  <si>
    <t xml:space="preserve">Vendor / Party A</t>
  </si>
  <si>
    <t xml:space="preserve">Our Company / Party B</t>
  </si>
  <si>
    <t xml:space="preserve">Category</t>
  </si>
  <si>
    <t xml:space="preserve">Contract Value</t>
  </si>
  <si>
    <t xml:space="preserve">Effective Date</t>
  </si>
  <si>
    <t xml:space="preserve">Expiry Date</t>
  </si>
  <si>
    <t xml:space="preserve">Auto-Renews?</t>
  </si>
  <si>
    <t xml:space="preserve">Notice Period (days)</t>
  </si>
  <si>
    <t xml:space="preserve">Notice Deadline</t>
  </si>
  <si>
    <t xml:space="preserve">Days Until Expiry</t>
  </si>
  <si>
    <t xml:space="preserve">Status</t>
  </si>
  <si>
    <t xml:space="preserve">Owner</t>
  </si>
  <si>
    <t xml:space="preserve">Notes</t>
  </si>
  <si>
    <t xml:space="preserve">AWS Enterprise Agreement</t>
  </si>
  <si>
    <t xml:space="preserve">Amazon Web Services Inc.</t>
  </si>
  <si>
    <t xml:space="preserve">Acme Technologies Ltd.</t>
  </si>
  <si>
    <t xml:space="preserve">SaaS</t>
  </si>
  <si>
    <t xml:space="preserve">$120,000/yr</t>
  </si>
  <si>
    <t xml:space="preserve">Yes</t>
  </si>
  <si>
    <t xml:space="preserve">Jane Smith</t>
  </si>
  <si>
    <t xml:space="preserve">Annual committed spend. Negotiate 10% discount at renewal.</t>
  </si>
  <si>
    <t xml:space="preserve">Salesforce CRM</t>
  </si>
  <si>
    <t xml:space="preserve">Salesforce Inc.</t>
  </si>
  <si>
    <t xml:space="preserve">$48,000/yr</t>
  </si>
  <si>
    <t xml:space="preserve">Review seat count before renewal — 5 unused licences.</t>
  </si>
  <si>
    <t xml:space="preserve">Office Lease — Canary Wharf</t>
  </si>
  <si>
    <t xml:space="preserve">WeWork Global LLC</t>
  </si>
  <si>
    <t xml:space="preserve">Lease</t>
  </si>
  <si>
    <t xml:space="preserve">£2,500/mo</t>
  </si>
  <si>
    <t xml:space="preserve">No</t>
  </si>
  <si>
    <t xml:space="preserve">Mark Lee</t>
  </si>
  <si>
    <t xml:space="preserve">Option to renew for 12 months. Notify landlord 60 days out.</t>
  </si>
  <si>
    <t xml:space="preserve">HubSpot Marketing Hub</t>
  </si>
  <si>
    <t xml:space="preserve">HubSpot Inc.</t>
  </si>
  <si>
    <t xml:space="preserve">$19,200/yr</t>
  </si>
  <si>
    <t xml:space="preserve">Sarah Chen</t>
  </si>
  <si>
    <t xml:space="preserve">Does not auto-renew. Must confirm renewal 14 days before.</t>
  </si>
  <si>
    <t xml:space="preserve">Accenture Consulting MSA</t>
  </si>
  <si>
    <t xml:space="preserve">Accenture LLP</t>
  </si>
  <si>
    <t xml:space="preserve">Vendor</t>
  </si>
  <si>
    <t xml:space="preserve">£85,000/yr</t>
  </si>
  <si>
    <t xml:space="preserve">Statement of work #3 in progress. Review scope at renewal.</t>
  </si>
  <si>
    <t xml:space="preserve">Equinix Data Centre Colocation</t>
  </si>
  <si>
    <t xml:space="preserve">Equinix (EMEA) BV</t>
  </si>
  <si>
    <t xml:space="preserve">£50,400/yr</t>
  </si>
  <si>
    <t xml:space="preserve">Auto-renews unless 90-day notice given. Evergreen clause.</t>
  </si>
  <si>
    <t xml:space="preserve">Slack Business+</t>
  </si>
  <si>
    <t xml:space="preserve">Slack Technologies LLC</t>
  </si>
  <si>
    <t xml:space="preserve">$5,250/yr</t>
  </si>
  <si>
    <t xml:space="preserve">Month-to-month. No fixed expiry. Cancel anytime.</t>
  </si>
  <si>
    <t xml:space="preserve">NDA — DataSync Solutions</t>
  </si>
  <si>
    <t xml:space="preserve">DataSync Solutions Ltd.</t>
  </si>
  <si>
    <t xml:space="preserve">NDA</t>
  </si>
  <si>
    <t xml:space="preserve">N/A</t>
  </si>
  <si>
    <t xml:space="preserve">Mutual NDA. Does not auto-renew.</t>
  </si>
  <si>
    <t xml:space="preserve">How to Use This Template</t>
  </si>
  <si>
    <t xml:space="preserve">A simple guide to getting the most out of your contract renewal tracker.</t>
  </si>
  <si>
    <t xml:space="preserve">Getting started</t>
  </si>
  <si>
    <t xml:space="preserve">1. Add your contracts</t>
  </si>
  <si>
    <t xml:space="preserve">Go to the Contract Tracker sheet and fill in each row. Start with your most important contracts — the ones with the highest value or shortest notice periods.</t>
  </si>
  <si>
    <t xml:space="preserve">2. Enter expiry dates</t>
  </si>
  <si>
    <t xml:space="preserve">The Expiry Date column (G) drives everything else. Once you enter a date, the Days Until Expiry and Status columns update automatically.</t>
  </si>
  <si>
    <t xml:space="preserve">3. Enter notice periods</t>
  </si>
  <si>
    <t xml:space="preserve">If your contract requires advance notice to cancel, enter the number of days in column I. The Notice Deadline column will calculate the last day you can act.</t>
  </si>
  <si>
    <t xml:space="preserve">4. Check the Status column</t>
  </si>
  <si>
    <t xml:space="preserve">Status updates automatically: 🟢 Active (&gt;60 days), 🟡 Review Soon (30-60 days), 🔴 Urgent (under 30 days), Expired.</t>
  </si>
  <si>
    <t xml:space="preserve">Colour coding</t>
  </si>
  <si>
    <t xml:space="preserve">🟢 Green rows</t>
  </si>
  <si>
    <t xml:space="preserve">Contract expires in more than 60 days. No action needed yet.</t>
  </si>
  <si>
    <t xml:space="preserve">🟡 Amber rows</t>
  </si>
  <si>
    <t xml:space="preserve">Contract expires in 30-60 days. Start reviewing terms and consider negotiation.</t>
  </si>
  <si>
    <t xml:space="preserve">🔴 Red rows</t>
  </si>
  <si>
    <t xml:space="preserve">Contract expires in under 30 days. Urgent — check notice deadline immediately.</t>
  </si>
  <si>
    <t xml:space="preserve">Grey rows</t>
  </si>
  <si>
    <t xml:space="preserve">Contract has already expired.</t>
  </si>
  <si>
    <t xml:space="preserve">Tips</t>
  </si>
  <si>
    <t xml:space="preserve">Notice deadline matters more than expiry date</t>
  </si>
  <si>
    <t xml:space="preserve">If you have a 60-day notice period and your contract expires in 65 days, you have 5 days to act — not 65. Always check column J.</t>
  </si>
  <si>
    <t xml:space="preserve">Review monthly</t>
  </si>
  <si>
    <t xml:space="preserve">Set a recurring calendar reminder on the 1st of each month to open this sheet and check for anything moving into amber or red.</t>
  </si>
  <si>
    <t xml:space="preserve">Track auto-renewals carefully</t>
  </si>
  <si>
    <t xml:space="preserve">Contracts that auto-renew (column H = Yes) will roll over silently. These are the most dangerous — vendors bank on you missing the notice window.</t>
  </si>
  <si>
    <t xml:space="preserve">Keep notes updated</t>
  </si>
  <si>
    <t xml:space="preserve">Use the Notes column to capture negotiation context: current pricing, what you want to change, who to call. You'll thank yourself at renewal time.</t>
  </si>
  <si>
    <t xml:space="preserve">Want this automated?</t>
  </si>
  <si>
    <t xml:space="preserve">About Renewl</t>
  </si>
  <si>
    <t xml:space="preserve">Renewl does everything this spreadsheet does — but automatically. Upload a PDF contract, AI extracts the dates, and you get email alerts at 60, 30, and 7 days before anything expires. No manual updates, no missed renewals.</t>
  </si>
  <si>
    <t xml:space="preserve">Free to try</t>
  </si>
  <si>
    <t xml:space="preserve">Start free at getrenewl.com — up to 20 contracts, no credit card required.</t>
  </si>
  <si>
    <t xml:space="preserve">Contract Summary Dashboard</t>
  </si>
  <si>
    <t xml:space="preserve">Last updated: 22 Mar 2026</t>
  </si>
  <si>
    <t xml:space="preserve">Total contracts tracked</t>
  </si>
  <si>
    <t xml:space="preserve">Active contracts</t>
  </si>
  <si>
    <t xml:space="preserve">Review soon (30-60 days)</t>
  </si>
  <si>
    <t xml:space="preserve">Urgent (under 30 days)</t>
  </si>
  <si>
    <t xml:space="preserve">Expired</t>
  </si>
  <si>
    <t xml:space="preserve">Auto-renewing contracts</t>
  </si>
  <si>
    <t xml:space="preserve">Next contracts expiring</t>
  </si>
  <si>
    <t xml:space="preserve">→ Go to Contract Tracker sheet and sort column K (Days Until Expiry) ascending to see what's coming up soonest.</t>
  </si>
  <si>
    <t xml:space="preserve">💡  Want automatic alerts? Renewl emails you 60, 30, and 7 days before every renewal. Try free at getrenewl.com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</si>
</sst>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 mmm\ yyyy"/>
    <numFmt numFmtId="166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92400E"/>
      <name val="Arial"/>
      <family val="0"/>
      <charset val="1"/>
    </font>
    <font>
      <b val="true"/>
      <sz val="18"/>
      <color rgb="FF0A0F1E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sz val="10"/>
      <color rgb="FF0F766E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20"/>
      <color rgb="FF0A0F1E"/>
      <name val="Arial"/>
      <family val="0"/>
      <charset val="1"/>
    </font>
    <font>
      <sz val="11"/>
      <color rgb="FF6B7280"/>
      <name val="Arial"/>
      <family val="0"/>
      <charset val="1"/>
    </font>
    <font>
      <b val="true"/>
      <sz val="12"/>
      <color rgb="FF064E3B"/>
      <name val="Arial"/>
      <family val="0"/>
      <charset val="1"/>
    </font>
    <font>
      <b val="true"/>
      <sz val="10"/>
      <color rgb="FF0A0F1E"/>
      <name val="Arial"/>
      <family val="0"/>
      <charset val="1"/>
    </font>
    <font>
      <sz val="10"/>
      <color rgb="FF374151"/>
      <name val="Arial"/>
      <family val="0"/>
      <charset val="1"/>
    </font>
    <font>
      <sz val="11"/>
      <color rgb="FF374151"/>
      <name val="Arial"/>
      <family val="0"/>
      <charset val="1"/>
    </font>
    <font>
      <b val="true"/>
      <sz val="18"/>
      <color rgb="FF064E3B"/>
      <name val="Arial"/>
      <family val="0"/>
      <charset val="1"/>
    </font>
    <font>
      <b val="true"/>
      <sz val="18"/>
      <color rgb="FF065F46"/>
      <name val="Arial"/>
      <family val="0"/>
      <charset val="1"/>
    </font>
    <font>
      <b val="true"/>
      <sz val="18"/>
      <color rgb="FF92400E"/>
      <name val="Arial"/>
      <family val="0"/>
      <charset val="1"/>
    </font>
    <font>
      <b val="true"/>
      <sz val="18"/>
      <color rgb="FFEF4444"/>
      <name val="Arial"/>
      <family val="0"/>
      <charset val="1"/>
    </font>
    <font>
      <b val="true"/>
      <sz val="18"/>
      <color rgb="FF6B7280"/>
      <name val="Arial"/>
      <family val="0"/>
      <charset val="1"/>
    </font>
    <font>
      <b val="true"/>
      <sz val="18"/>
      <color rgb="FF1E3A5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EF3C7"/>
        <bgColor rgb="FFFEE2E2"/>
      </patternFill>
    </fill>
    <fill>
      <patternFill patternType="solid">
        <fgColor rgb="FFFFFFFF"/>
        <bgColor rgb="FFF0FDF4"/>
      </patternFill>
    </fill>
    <fill>
      <patternFill patternType="solid">
        <fgColor rgb="FF064E3B"/>
        <bgColor rgb="FF065F46"/>
      </patternFill>
    </fill>
    <fill>
      <patternFill patternType="solid">
        <fgColor rgb="FFF0FDF4"/>
        <bgColor rgb="FFF3F4F6"/>
      </patternFill>
    </fill>
    <fill>
      <patternFill patternType="solid">
        <fgColor rgb="FFD1FAE5"/>
        <bgColor rgb="FFF0FD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3F4F6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F1E"/>
      <rgbColor rgb="FF808000"/>
      <rgbColor rgb="FF800080"/>
      <rgbColor rgb="FF0F766E"/>
      <rgbColor rgb="FFC0C0C0"/>
      <rgbColor rgb="FF808080"/>
      <rgbColor rgb="FF9999FF"/>
      <rgbColor rgb="FF993366"/>
      <rgbColor rgb="FFFEF3C7"/>
      <rgbColor rgb="FFF0FDF4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F3F4F6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EF4444"/>
      <rgbColor rgb="FF6B7280"/>
      <rgbColor rgb="FF969696"/>
      <rgbColor rgb="FF1E3A5F"/>
      <rgbColor rgb="FF339966"/>
      <rgbColor rgb="FF064E3B"/>
      <rgbColor rgb="FF333300"/>
      <rgbColor rgb="FF92400E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15"/>
    <col collapsed="false" customWidth="true" hidden="false" outlineLevel="0" max="9" min="8" style="0" width="13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6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7.5" hidden="false" customHeight="true" outlineLevel="0" collapsed="false"/>
    <row r="5" customFormat="false" ht="36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customFormat="false" ht="21.75" hidden="false" customHeight="true" outlineLevel="0" collapsed="false">
      <c r="A6" s="5" t="s">
        <v>17</v>
      </c>
      <c r="B6" s="5" t="s">
        <v>18</v>
      </c>
      <c r="C6" s="5" t="s">
        <v>19</v>
      </c>
      <c r="D6" s="5" t="s">
        <v>20</v>
      </c>
      <c r="E6" s="6" t="s">
        <v>21</v>
      </c>
      <c r="F6" s="7" t="n">
        <v>45383</v>
      </c>
      <c r="G6" s="7" t="n">
        <v>46112</v>
      </c>
      <c r="H6" s="8" t="s">
        <v>22</v>
      </c>
      <c r="I6" s="8" t="n">
        <v>90</v>
      </c>
      <c r="J6" s="9" t="n">
        <f aca="false">IF(AND(G6&lt;&gt;"",I6&lt;&gt;""),G6-I6,"")</f>
        <v>46022</v>
      </c>
      <c r="K6" s="10" t="n">
        <f aca="true">IF(G6&lt;&gt;"",G6-TODAY(),"")</f>
        <v>9</v>
      </c>
      <c r="L6" s="10" t="str">
        <f aca="true">IF(G6="","No Expiry",IF(G6&lt;TODAY(),"Expired",IF(G6-TODAY()&lt;=30,"🔴 Urgent",IF(G6-TODAY()&lt;=60,"🟡 Review Soon","🟢 Active"))))</f>
        <v>🔴 Urgent</v>
      </c>
      <c r="M6" s="5" t="s">
        <v>23</v>
      </c>
      <c r="N6" s="5" t="s">
        <v>24</v>
      </c>
    </row>
    <row r="7" customFormat="false" ht="21.75" hidden="false" customHeight="true" outlineLevel="0" collapsed="false">
      <c r="A7" s="11" t="s">
        <v>25</v>
      </c>
      <c r="B7" s="11" t="s">
        <v>26</v>
      </c>
      <c r="C7" s="11" t="s">
        <v>19</v>
      </c>
      <c r="D7" s="11" t="s">
        <v>20</v>
      </c>
      <c r="E7" s="12" t="s">
        <v>27</v>
      </c>
      <c r="F7" s="13" t="n">
        <v>45658</v>
      </c>
      <c r="G7" s="13" t="n">
        <v>46022</v>
      </c>
      <c r="H7" s="14" t="s">
        <v>22</v>
      </c>
      <c r="I7" s="14" t="n">
        <v>30</v>
      </c>
      <c r="J7" s="15" t="n">
        <f aca="false">IF(AND(G7&lt;&gt;"",I7&lt;&gt;""),G7-I7,"")</f>
        <v>45992</v>
      </c>
      <c r="K7" s="16" t="n">
        <f aca="true">IF(G7&lt;&gt;"",G7-TODAY(),"")</f>
        <v>-81</v>
      </c>
      <c r="L7" s="16" t="str">
        <f aca="true">IF(G7="","No Expiry",IF(G7&lt;TODAY(),"Expired",IF(G7-TODAY()&lt;=30,"🔴 Urgent",IF(G7-TODAY()&lt;=60,"🟡 Review Soon","🟢 Active"))))</f>
        <v>Expired</v>
      </c>
      <c r="M7" s="11" t="s">
        <v>23</v>
      </c>
      <c r="N7" s="11" t="s">
        <v>28</v>
      </c>
    </row>
    <row r="8" customFormat="false" ht="21.75" hidden="false" customHeight="true" outlineLevel="0" collapsed="false">
      <c r="A8" s="5" t="s">
        <v>29</v>
      </c>
      <c r="B8" s="5" t="s">
        <v>30</v>
      </c>
      <c r="C8" s="5" t="s">
        <v>19</v>
      </c>
      <c r="D8" s="5" t="s">
        <v>31</v>
      </c>
      <c r="E8" s="6" t="s">
        <v>32</v>
      </c>
      <c r="F8" s="7" t="n">
        <v>45717</v>
      </c>
      <c r="G8" s="7" t="n">
        <v>46447</v>
      </c>
      <c r="H8" s="8" t="s">
        <v>33</v>
      </c>
      <c r="I8" s="8" t="n">
        <v>60</v>
      </c>
      <c r="J8" s="9" t="n">
        <f aca="false">IF(AND(G8&lt;&gt;"",I8&lt;&gt;""),G8-I8,"")</f>
        <v>46387</v>
      </c>
      <c r="K8" s="10" t="n">
        <f aca="true">IF(G8&lt;&gt;"",G8-TODAY(),"")</f>
        <v>344</v>
      </c>
      <c r="L8" s="10" t="str">
        <f aca="true">IF(G8="","No Expiry",IF(G8&lt;TODAY(),"Expired",IF(G8-TODAY()&lt;=30,"🔴 Urgent",IF(G8-TODAY()&lt;=60,"🟡 Review Soon","🟢 Active"))))</f>
        <v>🟢 Active</v>
      </c>
      <c r="M8" s="5" t="s">
        <v>34</v>
      </c>
      <c r="N8" s="5" t="s">
        <v>35</v>
      </c>
    </row>
    <row r="9" customFormat="false" ht="21.75" hidden="false" customHeight="true" outlineLevel="0" collapsed="false">
      <c r="A9" s="11" t="s">
        <v>36</v>
      </c>
      <c r="B9" s="11" t="s">
        <v>37</v>
      </c>
      <c r="C9" s="11" t="s">
        <v>19</v>
      </c>
      <c r="D9" s="11" t="s">
        <v>20</v>
      </c>
      <c r="E9" s="12" t="s">
        <v>38</v>
      </c>
      <c r="F9" s="13" t="n">
        <v>45488</v>
      </c>
      <c r="G9" s="13" t="n">
        <v>45852</v>
      </c>
      <c r="H9" s="14" t="s">
        <v>33</v>
      </c>
      <c r="I9" s="14" t="n">
        <v>14</v>
      </c>
      <c r="J9" s="15" t="n">
        <f aca="false">IF(AND(G9&lt;&gt;"",I9&lt;&gt;""),G9-I9,"")</f>
        <v>45838</v>
      </c>
      <c r="K9" s="16" t="n">
        <f aca="true">IF(G9&lt;&gt;"",G9-TODAY(),"")</f>
        <v>-251</v>
      </c>
      <c r="L9" s="16" t="str">
        <f aca="true">IF(G9="","No Expiry",IF(G9&lt;TODAY(),"Expired",IF(G9-TODAY()&lt;=30,"🔴 Urgent",IF(G9-TODAY()&lt;=60,"🟡 Review Soon","🟢 Active"))))</f>
        <v>Expired</v>
      </c>
      <c r="M9" s="11" t="s">
        <v>39</v>
      </c>
      <c r="N9" s="11" t="s">
        <v>40</v>
      </c>
    </row>
    <row r="10" customFormat="false" ht="21.75" hidden="false" customHeight="true" outlineLevel="0" collapsed="false">
      <c r="A10" s="5" t="s">
        <v>41</v>
      </c>
      <c r="B10" s="5" t="s">
        <v>42</v>
      </c>
      <c r="C10" s="5" t="s">
        <v>19</v>
      </c>
      <c r="D10" s="5" t="s">
        <v>43</v>
      </c>
      <c r="E10" s="6" t="s">
        <v>44</v>
      </c>
      <c r="F10" s="7" t="n">
        <v>45536</v>
      </c>
      <c r="G10" s="7" t="n">
        <v>46265</v>
      </c>
      <c r="H10" s="8" t="s">
        <v>33</v>
      </c>
      <c r="I10" s="8" t="n">
        <v>60</v>
      </c>
      <c r="J10" s="9" t="n">
        <f aca="false">IF(AND(G10&lt;&gt;"",I10&lt;&gt;""),G10-I10,"")</f>
        <v>46205</v>
      </c>
      <c r="K10" s="10" t="n">
        <f aca="true">IF(G10&lt;&gt;"",G10-TODAY(),"")</f>
        <v>162</v>
      </c>
      <c r="L10" s="10" t="str">
        <f aca="true">IF(G10="","No Expiry",IF(G10&lt;TODAY(),"Expired",IF(G10-TODAY()&lt;=30,"🔴 Urgent",IF(G10-TODAY()&lt;=60,"🟡 Review Soon","🟢 Active"))))</f>
        <v>🟢 Active</v>
      </c>
      <c r="M10" s="5" t="s">
        <v>34</v>
      </c>
      <c r="N10" s="5" t="s">
        <v>45</v>
      </c>
    </row>
    <row r="11" customFormat="false" ht="21.75" hidden="false" customHeight="true" outlineLevel="0" collapsed="false">
      <c r="A11" s="11" t="s">
        <v>46</v>
      </c>
      <c r="B11" s="11" t="s">
        <v>47</v>
      </c>
      <c r="C11" s="11" t="s">
        <v>19</v>
      </c>
      <c r="D11" s="11" t="s">
        <v>43</v>
      </c>
      <c r="E11" s="12" t="s">
        <v>48</v>
      </c>
      <c r="F11" s="13" t="n">
        <v>45200</v>
      </c>
      <c r="G11" s="13" t="n">
        <v>46295</v>
      </c>
      <c r="H11" s="14" t="s">
        <v>22</v>
      </c>
      <c r="I11" s="14" t="n">
        <v>90</v>
      </c>
      <c r="J11" s="15" t="n">
        <f aca="false">IF(AND(G11&lt;&gt;"",I11&lt;&gt;""),G11-I11,"")</f>
        <v>46205</v>
      </c>
      <c r="K11" s="16" t="n">
        <f aca="true">IF(G11&lt;&gt;"",G11-TODAY(),"")</f>
        <v>192</v>
      </c>
      <c r="L11" s="16" t="str">
        <f aca="true">IF(G11="","No Expiry",IF(G11&lt;TODAY(),"Expired",IF(G11-TODAY()&lt;=30,"🔴 Urgent",IF(G11-TODAY()&lt;=60,"🟡 Review Soon","🟢 Active"))))</f>
        <v>🟢 Active</v>
      </c>
      <c r="M11" s="11" t="s">
        <v>23</v>
      </c>
      <c r="N11" s="11" t="s">
        <v>49</v>
      </c>
    </row>
    <row r="12" customFormat="false" ht="21.75" hidden="false" customHeight="true" outlineLevel="0" collapsed="false">
      <c r="A12" s="5" t="s">
        <v>50</v>
      </c>
      <c r="B12" s="5" t="s">
        <v>51</v>
      </c>
      <c r="C12" s="5" t="s">
        <v>19</v>
      </c>
      <c r="D12" s="5" t="s">
        <v>20</v>
      </c>
      <c r="E12" s="6" t="s">
        <v>52</v>
      </c>
      <c r="F12" s="7" t="n">
        <v>45597</v>
      </c>
      <c r="G12" s="8"/>
      <c r="H12" s="8" t="s">
        <v>22</v>
      </c>
      <c r="I12" s="8" t="n">
        <v>7</v>
      </c>
      <c r="J12" s="9" t="str">
        <f aca="false">IF(AND(G12&lt;&gt;"",I12&lt;&gt;""),G12-I12,"")</f>
        <v/>
      </c>
      <c r="K12" s="10" t="str">
        <f aca="true">IF(G12&lt;&gt;"",G12-TODAY(),"")</f>
        <v/>
      </c>
      <c r="L12" s="10" t="str">
        <f aca="true">IF(G12="","No Expiry",IF(G12&lt;TODAY(),"Expired",IF(G12-TODAY()&lt;=30,"🔴 Urgent",IF(G12-TODAY()&lt;=60,"🟡 Review Soon","🟢 Active"))))</f>
        <v>No Expiry</v>
      </c>
      <c r="M12" s="5" t="s">
        <v>39</v>
      </c>
      <c r="N12" s="5" t="s">
        <v>53</v>
      </c>
    </row>
    <row r="13" customFormat="false" ht="21.75" hidden="false" customHeight="true" outlineLevel="0" collapsed="false">
      <c r="A13" s="11" t="s">
        <v>54</v>
      </c>
      <c r="B13" s="11" t="s">
        <v>55</v>
      </c>
      <c r="C13" s="11" t="s">
        <v>19</v>
      </c>
      <c r="D13" s="11" t="s">
        <v>56</v>
      </c>
      <c r="E13" s="12" t="s">
        <v>57</v>
      </c>
      <c r="F13" s="13" t="n">
        <v>45458</v>
      </c>
      <c r="G13" s="13" t="n">
        <v>46187</v>
      </c>
      <c r="H13" s="14" t="s">
        <v>33</v>
      </c>
      <c r="I13" s="14" t="n">
        <v>30</v>
      </c>
      <c r="J13" s="15" t="n">
        <f aca="false">IF(AND(G13&lt;&gt;"",I13&lt;&gt;""),G13-I13,"")</f>
        <v>46157</v>
      </c>
      <c r="K13" s="16" t="n">
        <f aca="true">IF(G13&lt;&gt;"",G13-TODAY(),"")</f>
        <v>84</v>
      </c>
      <c r="L13" s="16" t="str">
        <f aca="true">IF(G13="","No Expiry",IF(G13&lt;TODAY(),"Expired",IF(G13-TODAY()&lt;=30,"🔴 Urgent",IF(G13-TODAY()&lt;=60,"🟡 Review Soon","🟢 Active"))))</f>
        <v>🟢 Active</v>
      </c>
      <c r="M13" s="11" t="s">
        <v>34</v>
      </c>
      <c r="N13" s="11" t="s">
        <v>58</v>
      </c>
    </row>
    <row r="14" customFormat="false" ht="21.75" hidden="false" customHeight="tru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9" t="str">
        <f aca="false">IF(AND(G14&lt;&gt;"",I14&lt;&gt;""),G14-I14,"")</f>
        <v/>
      </c>
      <c r="K14" s="10" t="str">
        <f aca="true">IF(G14&lt;&gt;"",G14-TODAY(),"")</f>
        <v/>
      </c>
      <c r="L14" s="10" t="str">
        <f aca="true">IF(G14="","No Expiry",IF(G14&lt;TODAY(),"Expired",IF(G14-TODAY()&lt;=30,"🔴 Urgent",IF(G14-TODAY()&lt;=60,"🟡 Review Soon","🟢 Active"))))</f>
        <v>No Expiry</v>
      </c>
      <c r="M14" s="17"/>
      <c r="N14" s="17"/>
    </row>
    <row r="15" customFormat="false" ht="21.75" hidden="false" customHeight="true" outlineLevel="0" collapsed="false">
      <c r="A15" s="18"/>
      <c r="B15" s="18"/>
      <c r="C15" s="18"/>
      <c r="D15" s="18"/>
      <c r="E15" s="18"/>
      <c r="F15" s="18"/>
      <c r="G15" s="18"/>
      <c r="H15" s="18"/>
      <c r="I15" s="18"/>
      <c r="J15" s="15" t="str">
        <f aca="false">IF(AND(G15&lt;&gt;"",I15&lt;&gt;""),G15-I15,"")</f>
        <v/>
      </c>
      <c r="K15" s="16" t="str">
        <f aca="true">IF(G15&lt;&gt;"",G15-TODAY(),"")</f>
        <v/>
      </c>
      <c r="L15" s="16" t="str">
        <f aca="true">IF(G15="","No Expiry",IF(G15&lt;TODAY(),"Expired",IF(G15-TODAY()&lt;=30,"🔴 Urgent",IF(G15-TODAY()&lt;=60,"🟡 Review Soon","🟢 Active"))))</f>
        <v>No Expiry</v>
      </c>
      <c r="M15" s="18"/>
      <c r="N15" s="18"/>
    </row>
    <row r="16" customFormat="false" ht="21.75" hidden="false" customHeight="true" outlineLevel="0" collapsed="false">
      <c r="A16" s="17"/>
      <c r="B16" s="17"/>
      <c r="C16" s="17"/>
      <c r="D16" s="17"/>
      <c r="E16" s="17"/>
      <c r="F16" s="17"/>
      <c r="G16" s="17"/>
      <c r="H16" s="17"/>
      <c r="I16" s="17"/>
      <c r="J16" s="9" t="str">
        <f aca="false">IF(AND(G16&lt;&gt;"",I16&lt;&gt;""),G16-I16,"")</f>
        <v/>
      </c>
      <c r="K16" s="10" t="str">
        <f aca="true">IF(G16&lt;&gt;"",G16-TODAY(),"")</f>
        <v/>
      </c>
      <c r="L16" s="10" t="str">
        <f aca="true">IF(G16="","No Expiry",IF(G16&lt;TODAY(),"Expired",IF(G16-TODAY()&lt;=30,"🔴 Urgent",IF(G16-TODAY()&lt;=60,"🟡 Review Soon","🟢 Active"))))</f>
        <v>No Expiry</v>
      </c>
      <c r="M16" s="17"/>
      <c r="N16" s="17"/>
    </row>
    <row r="17" customFormat="false" ht="21.75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  <c r="J17" s="15" t="str">
        <f aca="false">IF(AND(G17&lt;&gt;"",I17&lt;&gt;""),G17-I17,"")</f>
        <v/>
      </c>
      <c r="K17" s="16" t="str">
        <f aca="true">IF(G17&lt;&gt;"",G17-TODAY(),"")</f>
        <v/>
      </c>
      <c r="L17" s="16" t="str">
        <f aca="true">IF(G17="","No Expiry",IF(G17&lt;TODAY(),"Expired",IF(G17-TODAY()&lt;=30,"🔴 Urgent",IF(G17-TODAY()&lt;=60,"🟡 Review Soon","🟢 Active"))))</f>
        <v>No Expiry</v>
      </c>
      <c r="M17" s="18"/>
      <c r="N17" s="18"/>
    </row>
    <row r="18" customFormat="false" ht="21.75" hidden="false" customHeight="true" outlineLevel="0" collapsed="false">
      <c r="A18" s="17"/>
      <c r="B18" s="17"/>
      <c r="C18" s="17"/>
      <c r="D18" s="17"/>
      <c r="E18" s="17"/>
      <c r="F18" s="17"/>
      <c r="G18" s="17"/>
      <c r="H18" s="17"/>
      <c r="I18" s="17"/>
      <c r="J18" s="9" t="str">
        <f aca="false">IF(AND(G18&lt;&gt;"",I18&lt;&gt;""),G18-I18,"")</f>
        <v/>
      </c>
      <c r="K18" s="10" t="str">
        <f aca="true">IF(G18&lt;&gt;"",G18-TODAY(),"")</f>
        <v/>
      </c>
      <c r="L18" s="10" t="str">
        <f aca="true">IF(G18="","No Expiry",IF(G18&lt;TODAY(),"Expired",IF(G18-TODAY()&lt;=30,"🔴 Urgent",IF(G18-TODAY()&lt;=60,"🟡 Review Soon","🟢 Active"))))</f>
        <v>No Expiry</v>
      </c>
      <c r="M18" s="17"/>
      <c r="N18" s="17"/>
    </row>
    <row r="19" customFormat="false" ht="21.75" hidden="false" customHeight="true" outlineLevel="0" collapsed="false">
      <c r="A19" s="18"/>
      <c r="B19" s="18"/>
      <c r="C19" s="18"/>
      <c r="D19" s="18"/>
      <c r="E19" s="18"/>
      <c r="F19" s="18"/>
      <c r="G19" s="18"/>
      <c r="H19" s="18"/>
      <c r="I19" s="18"/>
      <c r="J19" s="15" t="str">
        <f aca="false">IF(AND(G19&lt;&gt;"",I19&lt;&gt;""),G19-I19,"")</f>
        <v/>
      </c>
      <c r="K19" s="16" t="str">
        <f aca="true">IF(G19&lt;&gt;"",G19-TODAY(),"")</f>
        <v/>
      </c>
      <c r="L19" s="16" t="str">
        <f aca="true">IF(G19="","No Expiry",IF(G19&lt;TODAY(),"Expired",IF(G19-TODAY()&lt;=30,"🔴 Urgent",IF(G19-TODAY()&lt;=60,"🟡 Review Soon","🟢 Active"))))</f>
        <v>No Expiry</v>
      </c>
      <c r="M19" s="18"/>
      <c r="N19" s="18"/>
    </row>
    <row r="20" customFormat="false" ht="21.75" hidden="false" customHeight="true" outlineLevel="0" collapsed="false">
      <c r="A20" s="17"/>
      <c r="B20" s="17"/>
      <c r="C20" s="17"/>
      <c r="D20" s="17"/>
      <c r="E20" s="17"/>
      <c r="F20" s="17"/>
      <c r="G20" s="17"/>
      <c r="H20" s="17"/>
      <c r="I20" s="17"/>
      <c r="J20" s="9" t="str">
        <f aca="false">IF(AND(G20&lt;&gt;"",I20&lt;&gt;""),G20-I20,"")</f>
        <v/>
      </c>
      <c r="K20" s="10" t="str">
        <f aca="true">IF(G20&lt;&gt;"",G20-TODAY(),"")</f>
        <v/>
      </c>
      <c r="L20" s="10" t="str">
        <f aca="true">IF(G20="","No Expiry",IF(G20&lt;TODAY(),"Expired",IF(G20-TODAY()&lt;=30,"🔴 Urgent",IF(G20-TODAY()&lt;=60,"🟡 Review Soon","🟢 Active"))))</f>
        <v>No Expiry</v>
      </c>
      <c r="M20" s="17"/>
      <c r="N20" s="17"/>
    </row>
    <row r="21" customFormat="false" ht="21.75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  <c r="J21" s="15" t="str">
        <f aca="false">IF(AND(G21&lt;&gt;"",I21&lt;&gt;""),G21-I21,"")</f>
        <v/>
      </c>
      <c r="K21" s="16" t="str">
        <f aca="true">IF(G21&lt;&gt;"",G21-TODAY(),"")</f>
        <v/>
      </c>
      <c r="L21" s="16" t="str">
        <f aca="true">IF(G21="","No Expiry",IF(G21&lt;TODAY(),"Expired",IF(G21-TODAY()&lt;=30,"🔴 Urgent",IF(G21-TODAY()&lt;=60,"🟡 Review Soon","🟢 Active"))))</f>
        <v>No Expiry</v>
      </c>
      <c r="M21" s="18"/>
      <c r="N21" s="18"/>
    </row>
    <row r="22" customFormat="false" ht="21.75" hidden="false" customHeight="true" outlineLevel="0" collapsed="false">
      <c r="A22" s="17"/>
      <c r="B22" s="17"/>
      <c r="C22" s="17"/>
      <c r="D22" s="17"/>
      <c r="E22" s="17"/>
      <c r="F22" s="17"/>
      <c r="G22" s="17"/>
      <c r="H22" s="17"/>
      <c r="I22" s="17"/>
      <c r="J22" s="9" t="str">
        <f aca="false">IF(AND(G22&lt;&gt;"",I22&lt;&gt;""),G22-I22,"")</f>
        <v/>
      </c>
      <c r="K22" s="10" t="str">
        <f aca="true">IF(G22&lt;&gt;"",G22-TODAY(),"")</f>
        <v/>
      </c>
      <c r="L22" s="10" t="str">
        <f aca="true">IF(G22="","No Expiry",IF(G22&lt;TODAY(),"Expired",IF(G22-TODAY()&lt;=30,"🔴 Urgent",IF(G22-TODAY()&lt;=60,"🟡 Review Soon","🟢 Active"))))</f>
        <v>No Expiry</v>
      </c>
      <c r="M22" s="17"/>
      <c r="N22" s="17"/>
    </row>
  </sheetData>
  <mergeCells count="3">
    <mergeCell ref="A1:N1"/>
    <mergeCell ref="A2:N2"/>
    <mergeCell ref="A3:N3"/>
  </mergeCells>
  <conditionalFormatting sqref="A6:N22">
    <cfRule type="expression" priority="2" aboveAverage="0" equalAverage="0" bottom="0" percent="0" rank="0" text="" dxfId="0">
      <formula>$G6&lt;TODAY()</formula>
    </cfRule>
    <cfRule type="expression" priority="3" aboveAverage="0" equalAverage="0" bottom="0" percent="0" rank="0" text="" dxfId="1">
      <formula>AND($G6&gt;TODAY(),$G6-TODAY()&lt;=30)</formula>
    </cfRule>
    <cfRule type="expression" priority="4" aboveAverage="0" equalAverage="0" bottom="0" percent="0" rank="0" text="" dxfId="2">
      <formula>AND($G6&gt;TODAY(),$G6-TODAY()&lt;=60,$G6-TODAY()&gt;30)</formula>
    </cfRule>
  </conditionalFormatting>
  <dataValidations count="1">
    <dataValidation allowBlank="true" error="Please select a valid category" errorStyle="stop" errorTitle="Invalid Category" operator="between" showDropDown="false" showErrorMessage="false" showInputMessage="false" sqref="D6:D22" type="list">
      <formula1>"SaaS,Lease,Vendor,Employment,NDA,Other"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0"/>
    <col collapsed="false" customWidth="true" hidden="false" outlineLevel="0" max="3" min="3" style="0" width="40"/>
  </cols>
  <sheetData>
    <row r="1" customFormat="false" ht="39.75" hidden="false" customHeight="true" outlineLevel="0" collapsed="false">
      <c r="B1" s="19" t="s">
        <v>59</v>
      </c>
      <c r="C1" s="19"/>
    </row>
    <row r="2" customFormat="false" ht="24" hidden="false" customHeight="true" outlineLevel="0" collapsed="false">
      <c r="B2" s="20" t="s">
        <v>60</v>
      </c>
    </row>
    <row r="3" customFormat="false" ht="15.75" hidden="false" customHeight="true" outlineLevel="0" collapsed="false"/>
    <row r="4" customFormat="false" ht="27.75" hidden="false" customHeight="true" outlineLevel="0" collapsed="false">
      <c r="B4" s="21" t="s">
        <v>61</v>
      </c>
      <c r="C4" s="22"/>
    </row>
    <row r="5" customFormat="false" ht="36" hidden="false" customHeight="true" outlineLevel="0" collapsed="false">
      <c r="B5" s="23" t="s">
        <v>62</v>
      </c>
      <c r="C5" s="24" t="s">
        <v>63</v>
      </c>
    </row>
    <row r="6" customFormat="false" ht="36" hidden="false" customHeight="true" outlineLevel="0" collapsed="false">
      <c r="B6" s="23" t="s">
        <v>64</v>
      </c>
      <c r="C6" s="24" t="s">
        <v>65</v>
      </c>
    </row>
    <row r="7" customFormat="false" ht="36" hidden="false" customHeight="true" outlineLevel="0" collapsed="false">
      <c r="B7" s="23" t="s">
        <v>66</v>
      </c>
      <c r="C7" s="24" t="s">
        <v>67</v>
      </c>
    </row>
    <row r="8" customFormat="false" ht="36" hidden="false" customHeight="true" outlineLevel="0" collapsed="false">
      <c r="B8" s="23" t="s">
        <v>68</v>
      </c>
      <c r="C8" s="24" t="s">
        <v>69</v>
      </c>
    </row>
    <row r="9" customFormat="false" ht="15.75" hidden="false" customHeight="true" outlineLevel="0" collapsed="false"/>
    <row r="10" customFormat="false" ht="27.75" hidden="false" customHeight="true" outlineLevel="0" collapsed="false">
      <c r="B10" s="21" t="s">
        <v>70</v>
      </c>
      <c r="C10" s="22"/>
    </row>
    <row r="11" customFormat="false" ht="36" hidden="false" customHeight="true" outlineLevel="0" collapsed="false">
      <c r="B11" s="23" t="s">
        <v>71</v>
      </c>
      <c r="C11" s="24" t="s">
        <v>72</v>
      </c>
    </row>
    <row r="12" customFormat="false" ht="36" hidden="false" customHeight="true" outlineLevel="0" collapsed="false">
      <c r="B12" s="23" t="s">
        <v>73</v>
      </c>
      <c r="C12" s="24" t="s">
        <v>74</v>
      </c>
    </row>
    <row r="13" customFormat="false" ht="36" hidden="false" customHeight="true" outlineLevel="0" collapsed="false">
      <c r="B13" s="23" t="s">
        <v>75</v>
      </c>
      <c r="C13" s="24" t="s">
        <v>76</v>
      </c>
    </row>
    <row r="14" customFormat="false" ht="36" hidden="false" customHeight="true" outlineLevel="0" collapsed="false">
      <c r="B14" s="23" t="s">
        <v>77</v>
      </c>
      <c r="C14" s="24" t="s">
        <v>78</v>
      </c>
    </row>
    <row r="15" customFormat="false" ht="15.75" hidden="false" customHeight="true" outlineLevel="0" collapsed="false"/>
    <row r="16" customFormat="false" ht="27.75" hidden="false" customHeight="true" outlineLevel="0" collapsed="false">
      <c r="B16" s="21" t="s">
        <v>79</v>
      </c>
      <c r="C16" s="22"/>
    </row>
    <row r="17" customFormat="false" ht="36" hidden="false" customHeight="true" outlineLevel="0" collapsed="false">
      <c r="B17" s="23" t="s">
        <v>80</v>
      </c>
      <c r="C17" s="24" t="s">
        <v>81</v>
      </c>
    </row>
    <row r="18" customFormat="false" ht="36" hidden="false" customHeight="true" outlineLevel="0" collapsed="false">
      <c r="B18" s="23" t="s">
        <v>82</v>
      </c>
      <c r="C18" s="24" t="s">
        <v>83</v>
      </c>
    </row>
    <row r="19" customFormat="false" ht="36" hidden="false" customHeight="true" outlineLevel="0" collapsed="false">
      <c r="B19" s="23" t="s">
        <v>84</v>
      </c>
      <c r="C19" s="24" t="s">
        <v>85</v>
      </c>
    </row>
    <row r="20" customFormat="false" ht="36" hidden="false" customHeight="true" outlineLevel="0" collapsed="false">
      <c r="B20" s="23" t="s">
        <v>86</v>
      </c>
      <c r="C20" s="24" t="s">
        <v>87</v>
      </c>
    </row>
    <row r="21" customFormat="false" ht="15.75" hidden="false" customHeight="true" outlineLevel="0" collapsed="false"/>
    <row r="22" customFormat="false" ht="27.75" hidden="false" customHeight="true" outlineLevel="0" collapsed="false">
      <c r="B22" s="21" t="s">
        <v>88</v>
      </c>
      <c r="C22" s="22"/>
    </row>
    <row r="23" customFormat="false" ht="36" hidden="false" customHeight="true" outlineLevel="0" collapsed="false">
      <c r="B23" s="23" t="s">
        <v>89</v>
      </c>
      <c r="C23" s="24" t="s">
        <v>90</v>
      </c>
    </row>
    <row r="24" customFormat="false" ht="36" hidden="false" customHeight="true" outlineLevel="0" collapsed="false">
      <c r="B24" s="23" t="s">
        <v>91</v>
      </c>
      <c r="C24" s="24" t="s">
        <v>92</v>
      </c>
    </row>
  </sheetData>
  <mergeCells count="1">
    <mergeCell ref="B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0"/>
  </cols>
  <sheetData>
    <row r="1" customFormat="false" ht="36" hidden="false" customHeight="true" outlineLevel="0" collapsed="false">
      <c r="B1" s="25" t="s">
        <v>93</v>
      </c>
      <c r="C1" s="25"/>
    </row>
    <row r="2" customFormat="false" ht="19.5" hidden="false" customHeight="true" outlineLevel="0" collapsed="false">
      <c r="B2" s="26" t="s">
        <v>94</v>
      </c>
    </row>
    <row r="3" customFormat="false" ht="12" hidden="false" customHeight="true" outlineLevel="0" collapsed="false"/>
    <row r="4" customFormat="false" ht="36" hidden="false" customHeight="true" outlineLevel="0" collapsed="false">
      <c r="B4" s="27" t="s">
        <v>95</v>
      </c>
      <c r="C4" s="28" t="n">
        <f aca="false">COUNTA('Contract Tracker'!A6:A100)</f>
        <v>8</v>
      </c>
    </row>
    <row r="5" customFormat="false" ht="36" hidden="false" customHeight="true" outlineLevel="0" collapsed="false">
      <c r="B5" s="29" t="s">
        <v>96</v>
      </c>
      <c r="C5" s="30" t="n">
        <f aca="false">COUNTIF('Contract Tracker'!L6:L100,"🟢 Active")</f>
        <v>4</v>
      </c>
    </row>
    <row r="6" customFormat="false" ht="36" hidden="false" customHeight="true" outlineLevel="0" collapsed="false">
      <c r="B6" s="27" t="s">
        <v>97</v>
      </c>
      <c r="C6" s="31" t="n">
        <f aca="false">COUNTIF('Contract Tracker'!L6:L100,"🟡 Review Soon")</f>
        <v>0</v>
      </c>
    </row>
    <row r="7" customFormat="false" ht="36" hidden="false" customHeight="true" outlineLevel="0" collapsed="false">
      <c r="B7" s="29" t="s">
        <v>98</v>
      </c>
      <c r="C7" s="32" t="n">
        <f aca="false">COUNTIF('Contract Tracker'!L6:L100,"🔴 Urgent")</f>
        <v>1</v>
      </c>
    </row>
    <row r="8" customFormat="false" ht="36" hidden="false" customHeight="true" outlineLevel="0" collapsed="false">
      <c r="B8" s="27" t="s">
        <v>99</v>
      </c>
      <c r="C8" s="33" t="n">
        <f aca="false">COUNTIF('Contract Tracker'!L6:L100,"Expired")</f>
        <v>2</v>
      </c>
    </row>
    <row r="9" customFormat="false" ht="36" hidden="false" customHeight="true" outlineLevel="0" collapsed="false">
      <c r="B9" s="29" t="s">
        <v>100</v>
      </c>
      <c r="C9" s="34" t="n">
        <f aca="false">COUNTIF('Contract Tracker'!H6:H100,"Yes")</f>
        <v>4</v>
      </c>
    </row>
    <row r="10" customFormat="false" ht="19.5" hidden="false" customHeight="true" outlineLevel="0" collapsed="false"/>
    <row r="11" customFormat="false" ht="27.75" hidden="false" customHeight="true" outlineLevel="0" collapsed="false">
      <c r="B11" s="21" t="s">
        <v>101</v>
      </c>
      <c r="C11" s="22"/>
    </row>
    <row r="12" customFormat="false" ht="48" hidden="false" customHeight="true" outlineLevel="0" collapsed="false">
      <c r="B12" s="35" t="s">
        <v>102</v>
      </c>
      <c r="C12" s="35"/>
    </row>
    <row r="13" customFormat="false" ht="19.5" hidden="false" customHeight="true" outlineLevel="0" collapsed="false"/>
    <row r="14" customFormat="false" ht="36" hidden="false" customHeight="true" outlineLevel="0" collapsed="false">
      <c r="B14" s="36" t="s">
        <v>103</v>
      </c>
      <c r="C14" s="36"/>
    </row>
  </sheetData>
  <mergeCells count="3">
    <mergeCell ref="B1:C1"/>
    <mergeCell ref="B12:C12"/>
    <mergeCell ref="B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2026-03-22T13:23:24Z</dcterms:created>
  <dc:creator>openpyxl</dc:creator>
  <dc:description/>
  <dc:language>en-US</dc:language>
  <cp:lastModifiedBy/>
  <dcterms:modified xsi:type="dcterms:W3CDTF">2026-03-22T13:23:24Z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